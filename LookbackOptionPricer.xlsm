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LookbackOptionPricer\"/>
    </mc:Choice>
  </mc:AlternateContent>
  <xr:revisionPtr revIDLastSave="0" documentId="13_ncr:1_{BD1488DC-EF0B-4A68-A910-CEB3D06545FF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Pricer" sheetId="1" r:id="rId1"/>
    <sheet name="donnee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4" i="2" l="1"/>
  <c r="C15" i="2"/>
  <c r="C16" i="2"/>
  <c r="C17" i="2"/>
  <c r="K1" i="2"/>
  <c r="C3" i="2" s="1"/>
  <c r="C13" i="2" l="1"/>
  <c r="C7" i="2"/>
  <c r="C2" i="2"/>
  <c r="C6" i="2"/>
  <c r="C5" i="2"/>
  <c r="C11" i="2"/>
  <c r="C10" i="2"/>
  <c r="C12" i="2"/>
  <c r="C9" i="2"/>
  <c r="C8" i="2"/>
  <c r="C4" i="2"/>
</calcChain>
</file>

<file path=xl/sharedStrings.xml><?xml version="1.0" encoding="utf-8"?>
<sst xmlns="http://schemas.openxmlformats.org/spreadsheetml/2006/main" count="30" uniqueCount="29">
  <si>
    <t>Lookback options pricer with Monte-Carlo method</t>
  </si>
  <si>
    <t>Inputs</t>
  </si>
  <si>
    <t>Maturity</t>
  </si>
  <si>
    <t>Computation date</t>
  </si>
  <si>
    <t>Initial price of the share</t>
  </si>
  <si>
    <t>Constant risk-free yield</t>
  </si>
  <si>
    <t>Volatility</t>
  </si>
  <si>
    <t>Discretization of [T0,T]</t>
  </si>
  <si>
    <t>Number of MC simulations</t>
  </si>
  <si>
    <t>Call</t>
  </si>
  <si>
    <t>Put</t>
  </si>
  <si>
    <t>?</t>
  </si>
  <si>
    <t>P(S)</t>
  </si>
  <si>
    <t>Delta(S)</t>
  </si>
  <si>
    <t>Outputs</t>
  </si>
  <si>
    <t>Theorical price</t>
  </si>
  <si>
    <t>MC price</t>
  </si>
  <si>
    <t>Delta</t>
  </si>
  <si>
    <t>Gamma</t>
  </si>
  <si>
    <t>Thêta</t>
  </si>
  <si>
    <t>Rho</t>
  </si>
  <si>
    <t>Vega</t>
  </si>
  <si>
    <t>Computation time</t>
  </si>
  <si>
    <t>Graphe option</t>
  </si>
  <si>
    <t>Discretization</t>
  </si>
  <si>
    <t>S0 begin factor</t>
  </si>
  <si>
    <t>S0 end factor</t>
  </si>
  <si>
    <t>S0</t>
  </si>
  <si>
    <t>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</si>
</sst>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4" fontId="0" fillId="0" borderId="0" xfId="0" applyNumberFormat="1"/>
    <xf numFmtId="3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Plot</a:t>
            </a:r>
            <a:r>
              <a:rPr lang="en-US" baseline="0"/>
              <a:t> of P, as a function of S0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80815760098953"/>
          <c:y val="0.16708333333333336"/>
          <c:w val="0.85177793867720553"/>
          <c:h val="0.652761269804778"/>
        </c:manualLayout>
      </c:layout>
      <c:lineChart>
        <c:grouping val="standard"/>
        <c:varyColors val="0"/>
        <c:ser>
          <c:idx val="0"/>
          <c:order val="0"/>
          <c:tx>
            <c:strRef>
              <c:f>donnees!$D$1</c:f>
              <c:strCache>
                <c:ptCount val="1"/>
                <c:pt idx="0">
                  <c:v>P(S)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donnees!$C:$C</c15:sqref>
                  </c15:fullRef>
                </c:ext>
              </c:extLst>
              <c:f>donnees!$C$2:$C$1048576</c:f>
              <c:strCache>
                <c:ptCount val="10"/>
                <c:pt idx="0">
                  <c:v>50</c:v>
                </c:pt>
                <c:pt idx="1">
                  <c:v>61,11111111</c:v>
                </c:pt>
                <c:pt idx="2">
                  <c:v>72,22222222</c:v>
                </c:pt>
                <c:pt idx="3">
                  <c:v>83,33333333</c:v>
                </c:pt>
                <c:pt idx="4">
                  <c:v>94,44444444</c:v>
                </c:pt>
                <c:pt idx="5">
                  <c:v>105,5555556</c:v>
                </c:pt>
                <c:pt idx="6">
                  <c:v>116,6666667</c:v>
                </c:pt>
                <c:pt idx="7">
                  <c:v>127,7777778</c:v>
                </c:pt>
                <c:pt idx="8">
                  <c:v>138,8888889</c:v>
                </c:pt>
                <c:pt idx="9">
                  <c:v>150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donnees!$D$2:$D$17</c15:sqref>
                  </c15:fullRef>
                </c:ext>
              </c:extLst>
              <c:f>donnees!$D$3:$D$17</c:f>
              <c:numCache>
                <c:formatCode>General</c:formatCode>
                <c:ptCount val="15"/>
                <c:pt idx="0">
                  <c:v>3</c:v>
                </c:pt>
                <c:pt idx="1">
                  <c:v>5</c:v>
                </c:pt>
                <c:pt idx="2">
                  <c:v>7</c:v>
                </c:pt>
                <c:pt idx="3">
                  <c:v>9</c:v>
                </c:pt>
                <c:pt idx="4">
                  <c:v>11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D79-46A1-A60F-4B4F904E5C0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930319631"/>
        <c:axId val="866542159"/>
      </c:lineChart>
      <c:catAx>
        <c:axId val="9303196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S0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66542159"/>
        <c:crosses val="autoZero"/>
        <c:auto val="1"/>
        <c:lblAlgn val="ctr"/>
        <c:lblOffset val="100"/>
        <c:noMultiLvlLbl val="0"/>
      </c:catAx>
      <c:valAx>
        <c:axId val="866542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P(S0,T0)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3196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Delta(S0)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donnees!$G$1</c:f>
              <c:strCache>
                <c:ptCount val="1"/>
                <c:pt idx="0">
                  <c:v>Delta(S)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donnees!$G$2:$G$8</c:f>
              <c:numCache>
                <c:formatCode>General</c:formatCode>
                <c:ptCount val="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C1-4929-97C0-E38D39719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7614815"/>
        <c:axId val="1227615231"/>
      </c:lineChart>
      <c:catAx>
        <c:axId val="1227614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S0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27615231"/>
        <c:crosses val="autoZero"/>
        <c:auto val="1"/>
        <c:lblAlgn val="ctr"/>
        <c:lblOffset val="100"/>
        <c:noMultiLvlLbl val="0"/>
      </c:catAx>
      <c:valAx>
        <c:axId val="1227615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Delta(S0,T0)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276148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</xdr:colOff>
      <xdr:row>2</xdr:row>
      <xdr:rowOff>49530</xdr:rowOff>
    </xdr:from>
    <xdr:to>
      <xdr:col>9</xdr:col>
      <xdr:colOff>365760</xdr:colOff>
      <xdr:row>17</xdr:row>
      <xdr:rowOff>152400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533400</xdr:colOff>
      <xdr:row>2</xdr:row>
      <xdr:rowOff>49530</xdr:rowOff>
    </xdr:from>
    <xdr:to>
      <xdr:col>17</xdr:col>
      <xdr:colOff>106680</xdr:colOff>
      <xdr:row>17</xdr:row>
      <xdr:rowOff>49530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14</xdr:row>
          <xdr:rowOff>137160</xdr:rowOff>
        </xdr:from>
        <xdr:to>
          <xdr:col>0</xdr:col>
          <xdr:colOff>1021080</xdr:colOff>
          <xdr:row>16</xdr:row>
          <xdr:rowOff>60960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Call pricer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1524000</xdr:colOff>
          <xdr:row>14</xdr:row>
          <xdr:rowOff>152400</xdr:rowOff>
        </xdr:from>
        <xdr:to>
          <xdr:col>1</xdr:col>
          <xdr:colOff>944880</xdr:colOff>
          <xdr:row>16</xdr:row>
          <xdr:rowOff>106680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Put pricer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G26"/>
  <sheetViews>
    <sheetView tabSelected="1" topLeftCell="A2" workbookViewId="0">
      <selection activeCell="D22" sqref="D22"/>
    </sheetView>
  </sheetViews>
  <sheetFormatPr baseColWidth="10" defaultColWidth="9.109375" defaultRowHeight="14.4" x14ac:dyDescent="0.3"/>
  <cols>
    <col min="1" max="1" width="23.21875" customWidth="1"/>
    <col min="2" max="2" width="18" customWidth="1"/>
    <col min="6" max="6" width="12.88671875" customWidth="1"/>
  </cols>
  <sheetData>
    <row r="1" spans="1:2" ht="33.6" x14ac:dyDescent="0.65">
      <c r="A1" s="1" t="s">
        <v>0</v>
      </c>
    </row>
    <row r="4" spans="1:2" x14ac:dyDescent="0.3">
      <c r="A4" s="4" t="s">
        <v>1</v>
      </c>
    </row>
    <row r="5" spans="1:2" x14ac:dyDescent="0.3">
      <c r="A5" s="5" t="s">
        <v>3</v>
      </c>
      <c r="B5" s="2">
        <v>0</v>
      </c>
    </row>
    <row r="6" spans="1:2" x14ac:dyDescent="0.3">
      <c r="A6" s="5" t="s">
        <v>2</v>
      </c>
      <c r="B6" s="2">
        <v>2</v>
      </c>
    </row>
    <row r="7" spans="1:2" x14ac:dyDescent="0.3">
      <c r="A7" s="5" t="s">
        <v>4</v>
      </c>
      <c r="B7" s="2">
        <v>100</v>
      </c>
    </row>
    <row r="8" spans="1:2" x14ac:dyDescent="0.3">
      <c r="A8" s="5" t="s">
        <v>5</v>
      </c>
      <c r="B8" s="2">
        <v>0.01</v>
      </c>
    </row>
    <row r="9" spans="1:2" x14ac:dyDescent="0.3">
      <c r="A9" s="5" t="s">
        <v>6</v>
      </c>
      <c r="B9" s="2" t="s">
        <v>11</v>
      </c>
    </row>
    <row r="10" spans="1:2" x14ac:dyDescent="0.3">
      <c r="A10" s="5" t="s">
        <v>7</v>
      </c>
      <c r="B10" s="3">
        <v>100</v>
      </c>
    </row>
    <row r="11" spans="1:2" x14ac:dyDescent="0.3">
      <c r="A11" s="5" t="s">
        <v>8</v>
      </c>
      <c r="B11" s="3">
        <v>10000</v>
      </c>
    </row>
    <row r="18" spans="1:7" x14ac:dyDescent="0.3">
      <c r="A18" s="4" t="s">
        <v>14</v>
      </c>
    </row>
    <row r="19" spans="1:7" x14ac:dyDescent="0.3">
      <c r="A19" s="5" t="s">
        <v>15</v>
      </c>
      <c r="B19" s="6"/>
    </row>
    <row r="20" spans="1:7" x14ac:dyDescent="0.3">
      <c r="A20" s="5" t="s">
        <v>16</v>
      </c>
      <c r="B20" s="6"/>
      <c r="F20" s="4" t="s">
        <v>23</v>
      </c>
    </row>
    <row r="21" spans="1:7" x14ac:dyDescent="0.3">
      <c r="A21" s="5" t="s">
        <v>17</v>
      </c>
      <c r="B21" s="6"/>
      <c r="F21" s="5" t="s">
        <v>25</v>
      </c>
      <c r="G21">
        <v>0.5</v>
      </c>
    </row>
    <row r="22" spans="1:7" x14ac:dyDescent="0.3">
      <c r="A22" s="5" t="s">
        <v>18</v>
      </c>
      <c r="B22" s="6"/>
      <c r="F22" s="5" t="s">
        <v>26</v>
      </c>
      <c r="G22">
        <v>1.5</v>
      </c>
    </row>
    <row r="23" spans="1:7" x14ac:dyDescent="0.3">
      <c r="A23" s="5" t="s">
        <v>19</v>
      </c>
      <c r="B23" s="6"/>
      <c r="F23" s="5" t="s">
        <v>24</v>
      </c>
      <c r="G23">
        <v>10</v>
      </c>
    </row>
    <row r="24" spans="1:7" x14ac:dyDescent="0.3">
      <c r="A24" s="5" t="s">
        <v>20</v>
      </c>
      <c r="B24" s="6"/>
    </row>
    <row r="25" spans="1:7" x14ac:dyDescent="0.3">
      <c r="A25" s="5" t="s">
        <v>21</v>
      </c>
      <c r="B25" s="6"/>
    </row>
    <row r="26" spans="1:7" x14ac:dyDescent="0.3">
      <c r="A26" s="5" t="s">
        <v>22</v>
      </c>
      <c r="B26" s="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Module2.OpenTextFileCall">
                <anchor moveWithCells="1">
                  <from>
                    <xdr:col>0</xdr:col>
                    <xdr:colOff>266700</xdr:colOff>
                    <xdr:row>14</xdr:row>
                    <xdr:rowOff>137160</xdr:rowOff>
                  </from>
                  <to>
                    <xdr:col>0</xdr:col>
                    <xdr:colOff>1021080</xdr:colOff>
                    <xdr:row>16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Module2.OpenTextFilePut">
                <anchor moveWithCells="1">
                  <from>
                    <xdr:col>0</xdr:col>
                    <xdr:colOff>1524000</xdr:colOff>
                    <xdr:row>14</xdr:row>
                    <xdr:rowOff>152400</xdr:rowOff>
                  </from>
                  <to>
                    <xdr:col>1</xdr:col>
                    <xdr:colOff>944880</xdr:colOff>
                    <xdr:row>16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1F406-2378-44E5-8BC2-9B530EF05945}">
  <sheetPr codeName="Feuil2"/>
  <dimension ref="A1:K17"/>
  <sheetViews>
    <sheetView workbookViewId="0">
      <selection activeCell="D12" sqref="D12"/>
    </sheetView>
  </sheetViews>
  <sheetFormatPr baseColWidth="10" defaultRowHeight="14.4" x14ac:dyDescent="0.3"/>
  <cols>
    <col min="3" max="4" width="11.5546875" style="5"/>
    <col min="6" max="7" width="11.5546875" style="5"/>
  </cols>
  <sheetData>
    <row r="1" spans="1:11" x14ac:dyDescent="0.3">
      <c r="A1" t="s">
        <v>9</v>
      </c>
      <c r="C1" s="4" t="s">
        <v>27</v>
      </c>
      <c r="D1" s="4" t="s">
        <v>12</v>
      </c>
      <c r="F1" s="4" t="s">
        <v>27</v>
      </c>
      <c r="G1" s="4" t="s">
        <v>13</v>
      </c>
      <c r="J1" t="s">
        <v>28</v>
      </c>
      <c r="K1">
        <f>Pricer!B7*(Pricer!G22-Pricer!G21)/(Pricer!G23-1)</f>
        <v>11.111111111111111</v>
      </c>
    </row>
    <row r="2" spans="1:11" x14ac:dyDescent="0.3">
      <c r="A2" t="s">
        <v>10</v>
      </c>
      <c r="C2" s="5">
        <f>IF(ROW(C2)&lt;Pricer!$G$23+2,Pricer!$G$21*Pricer!$B$7 + (ROW(C2)-2)*$K$1,"")</f>
        <v>50</v>
      </c>
      <c r="D2" s="5">
        <v>1</v>
      </c>
      <c r="G2" s="5">
        <v>1</v>
      </c>
    </row>
    <row r="3" spans="1:11" x14ac:dyDescent="0.3">
      <c r="A3">
        <v>2</v>
      </c>
      <c r="C3" s="5">
        <f>IF(ROW(C3)&lt;Pricer!$G$23+2,Pricer!$G$21*Pricer!$B$7 + (ROW(C3)-2)*$K$1,"")</f>
        <v>61.111111111111114</v>
      </c>
      <c r="D3" s="5">
        <v>3</v>
      </c>
      <c r="G3" s="5">
        <v>1</v>
      </c>
    </row>
    <row r="4" spans="1:11" x14ac:dyDescent="0.3">
      <c r="C4" s="5">
        <f>IF(ROW(C4)&lt;Pricer!$G$23+2,Pricer!$G$21*Pricer!$B$7 + (ROW(C4)-2)*$K$1,"")</f>
        <v>72.222222222222229</v>
      </c>
      <c r="D4" s="5">
        <v>5</v>
      </c>
      <c r="G4" s="5">
        <v>1</v>
      </c>
    </row>
    <row r="5" spans="1:11" x14ac:dyDescent="0.3">
      <c r="C5" s="5">
        <f>IF(ROW(C5)&lt;Pricer!$G$23+2,Pricer!$G$21*Pricer!$B$7 + (ROW(C5)-2)*$K$1,"")</f>
        <v>83.333333333333329</v>
      </c>
      <c r="D5" s="5">
        <v>7</v>
      </c>
      <c r="G5" s="5">
        <v>1</v>
      </c>
    </row>
    <row r="6" spans="1:11" x14ac:dyDescent="0.3">
      <c r="C6" s="5">
        <f>IF(ROW(C6)&lt;Pricer!$G$23+2,Pricer!$G$21*Pricer!$B$7 + (ROW(C6)-2)*$K$1,"")</f>
        <v>94.444444444444443</v>
      </c>
      <c r="D6" s="5">
        <v>9</v>
      </c>
      <c r="G6" s="5">
        <v>1</v>
      </c>
    </row>
    <row r="7" spans="1:11" x14ac:dyDescent="0.3">
      <c r="C7" s="5">
        <f>IF(ROW(C7)&lt;Pricer!$G$23+2,Pricer!$G$21*Pricer!$B$7 + (ROW(C7)-2)*$K$1,"")</f>
        <v>105.55555555555556</v>
      </c>
      <c r="D7" s="5">
        <v>11</v>
      </c>
      <c r="G7" s="5">
        <v>1</v>
      </c>
    </row>
    <row r="8" spans="1:11" x14ac:dyDescent="0.3">
      <c r="C8" s="5">
        <f>IF(ROW(C8)&lt;Pricer!$G$23+2,Pricer!$G$21*Pricer!$B$7 + (ROW(C8)-2)*$K$1,"")</f>
        <v>116.66666666666666</v>
      </c>
      <c r="D8" s="5">
        <v>12</v>
      </c>
      <c r="G8" s="5">
        <v>1</v>
      </c>
    </row>
    <row r="9" spans="1:11" x14ac:dyDescent="0.3">
      <c r="C9" s="5">
        <f>IF(ROW(C9)&lt;Pricer!$G$23+2,Pricer!$G$21*Pricer!$B$7 + (ROW(C9)-2)*$K$1,"")</f>
        <v>127.77777777777777</v>
      </c>
      <c r="D9" s="5">
        <v>14</v>
      </c>
    </row>
    <row r="10" spans="1:11" x14ac:dyDescent="0.3">
      <c r="C10" s="5">
        <f>IF(ROW(C10)&lt;Pricer!$G$23+2,Pricer!$G$21*Pricer!$B$7 + (ROW(C10)-2)*$K$1,"")</f>
        <v>138.88888888888889</v>
      </c>
      <c r="D10" s="5">
        <v>16</v>
      </c>
    </row>
    <row r="11" spans="1:11" x14ac:dyDescent="0.3">
      <c r="C11" s="5">
        <f>IF(ROW(C11)&lt;Pricer!$G$23+2,Pricer!$G$21*Pricer!$B$7 + (ROW(C11)-2)*$K$1,"")</f>
        <v>150</v>
      </c>
      <c r="D11" s="5">
        <v>19</v>
      </c>
    </row>
    <row r="12" spans="1:11" x14ac:dyDescent="0.3">
      <c r="C12" s="5" t="str">
        <f>IF(ROW(C12)&lt;Pricer!$G$23+2,Pricer!$G$21*Pricer!$B$7 + (ROW(C12)-2)*$K$1,"")</f>
        <v/>
      </c>
    </row>
    <row r="13" spans="1:11" x14ac:dyDescent="0.3">
      <c r="C13" s="5" t="str">
        <f>IF(ROW(C13)&lt;Pricer!$G$23+2,Pricer!$G$21*Pricer!$B$7 + (ROW(C13)-2)*$K$1,"")</f>
        <v/>
      </c>
    </row>
    <row r="14" spans="1:11" x14ac:dyDescent="0.3">
      <c r="C14" s="5" t="str">
        <f>IF(ROW(C14)&lt;Pricer!$G$23+2,Pricer!$G$21*Pricer!$B$7 + (ROW(C14)-2)*$K$1,"")</f>
        <v/>
      </c>
    </row>
    <row r="15" spans="1:11" x14ac:dyDescent="0.3">
      <c r="C15" s="5" t="str">
        <f>IF(ROW(C15)&lt;Pricer!$G$23+2,Pricer!$G$21*Pricer!$B$7 + (ROW(C15)-2)*$K$1,"")</f>
        <v/>
      </c>
    </row>
    <row r="16" spans="1:11" x14ac:dyDescent="0.3">
      <c r="C16" s="5" t="str">
        <f>IF(ROW(C16)&lt;Pricer!$G$23+2,Pricer!$G$21*Pricer!$B$7 + (ROW(C16)-2)*$K$1,"")</f>
        <v/>
      </c>
    </row>
    <row r="17" spans="3:3" x14ac:dyDescent="0.3">
      <c r="C17" s="5" t="str">
        <f>IF(ROW(C17)&lt;Pricer!$G$23+2,Pricer!$G$21*Pricer!$B$7 + (ROW(C17)-2)*$K$1,"")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Pricer</vt:lpstr>
      <vt:lpstr>donnees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Moran</dc:creator>
  <cp:lastModifiedBy>Julien Malfoy</cp:lastModifiedBy>
  <dcterms:created xsi:type="dcterms:W3CDTF">2015-06-05T18:19:34Z</dcterms:created>
  <dcterms:modified xsi:type="dcterms:W3CDTF">2020-12-16T09:44:53Z</dcterms:modified>
</cp:coreProperties>
</file>